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s" sheetId="1" state="visible" r:id="rId3"/>
    <sheet name="Récurrent" sheetId="2" state="visible" r:id="rId4"/>
    <sheet name="Échéanci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<sst xmlns="http://schemas.openxmlformats.org/spreadsheetml/2006/main" count="190" uniqueCount="126">
  <si>
    <t xml:space="preserve">SA LA GARONNE — Devis refonte outil métier (brouillon)</t>
  </si>
  <si>
    <t xml:space="preserve">PMC Marketing — septembre 2026 — montants HT</t>
  </si>
  <si>
    <t xml:space="preserve">TJM (€ HT / jour)</t>
  </si>
  <si>
    <t xml:space="preserve">← à ajuster : toutes les lignes se recalculent</t>
  </si>
  <si>
    <t xml:space="preserve">Remise engagement global</t>
  </si>
  <si>
    <t xml:space="preserve">appliquée si le client commande tous les lots de base ensemble</t>
  </si>
  <si>
    <t xml:space="preserve">Bleu = à modifier · noir = calculé · Option = ligne facultative, exclue du total de base</t>
  </si>
  <si>
    <t xml:space="preserve">Lot</t>
  </si>
  <si>
    <t xml:space="preserve">Ligne</t>
  </si>
  <si>
    <t xml:space="preserve">Description</t>
  </si>
  <si>
    <t xml:space="preserve">Jours</t>
  </si>
  <si>
    <t xml:space="preserve">Montant HT</t>
  </si>
  <si>
    <t xml:space="preserve">Type</t>
  </si>
  <si>
    <t xml:space="preserve">Lot 0</t>
  </si>
  <si>
    <t xml:space="preserve">Lancement</t>
  </si>
  <si>
    <t xml:space="preserve">Récupération des sources WinDev et export complet de la base HFSQL</t>
  </si>
  <si>
    <t xml:space="preserve">Exercice de la clause de cession, extraction ODBC, sauvegarde hors serveur, lecture de l'analyse (modèle de données).</t>
  </si>
  <si>
    <t xml:space="preserve">Base</t>
  </si>
  <si>
    <t xml:space="preserve">Entretiens bureau d'études et chef de chantier</t>
  </si>
  <si>
    <t xml:space="preserve">Deux entretiens ciblés ; confirmation du périmètre et des documents à reproduire.</t>
  </si>
  <si>
    <t xml:space="preserve">Modèle de données, rôles et droits</t>
  </si>
  <si>
    <t xml:space="preserve">Schéma cible, rôles nommés, matrice de droits par module et champs sensibles, registre RGPD.</t>
  </si>
  <si>
    <t xml:space="preserve">Design system et maquettes du lot 1</t>
  </si>
  <si>
    <t xml:space="preserve">Identité de l'application selon la charte, composants de base, maquettes des écrans clés QSE.</t>
  </si>
  <si>
    <t xml:space="preserve">Mise en place des environnements</t>
  </si>
  <si>
    <t xml:space="preserve">Vercel (région EU), PostgreSQL managé, stockage objet S3, envoi d'emails, dépôt de code au nom du client, CI.</t>
  </si>
  <si>
    <t xml:space="preserve">Sous-total Lot 0 (base)</t>
  </si>
  <si>
    <t xml:space="preserve">Lot 1</t>
  </si>
  <si>
    <t xml:space="preserve">Socle et conformité (QSE)</t>
  </si>
  <si>
    <t xml:space="preserve">Authentification, rôles, droits, journal d'accès</t>
  </si>
  <si>
    <t xml:space="preserve">Comptes nominatifs, rôles, masquage des champs sensibles, périmètre « mes données », traçabilité.</t>
  </si>
  <si>
    <t xml:space="preserve">Composants partagés</t>
  </si>
  <si>
    <t xml:space="preserve">Liste filtrable/triable/exportable, fiche par rôle, référentiel générique, GED à dates de validité avec droits par dossier.</t>
  </si>
  <si>
    <t xml:space="preserve">Répertoire des organisations et référentiels</t>
  </si>
  <si>
    <t xml:space="preserve">Table unifiée typée (clients, MOE, sous-traitants, organismes, fournisseurs) ; référentiels paramétrables.</t>
  </si>
  <si>
    <t xml:space="preserve">Salariés : fiche, listes, arrêts de travail, dossier amiante</t>
  </si>
  <si>
    <t xml:space="preserve">Fiche réduite par rôle, intérimaires et stagiaires, arrêts avec déclaration, dossier amiante à conservation longue.</t>
  </si>
  <si>
    <t xml:space="preserve">Registre des habilitations</t>
  </si>
  <si>
    <t xml:space="preserve">Permis, formations, autorisations, examens médicaux avec justificatifs PDF, statuts, distinction expiré / plus requis, vue consolidée.</t>
  </si>
  <si>
    <t xml:space="preserve">Parc matériel : inventaire, classification, fiche, documents</t>
  </si>
  <si>
    <t xml:space="preserve">Reprise de la classification, fiche identité/achat, photos, documents à validité (CT, VGP, assurance, homologation).</t>
  </si>
  <si>
    <t xml:space="preserve">Plans d'entretien et échéances</t>
  </si>
  <si>
    <t xml:space="preserve">Seuils à trois niveaux par km / heures / durée, fournitures, vidanges, statut par équipement.</t>
  </si>
  <si>
    <t xml:space="preserve">Interventions, tâches terrain, rapports d'utilisation, disques</t>
  </si>
  <si>
    <t xml:space="preserve">Journal atelier, signalements panne/casse avec suivi, points de contrôle, compteurs et carburant, disques tachygraphe.</t>
  </si>
  <si>
    <t xml:space="preserve">Éditions réglementaires TICPE et Défense</t>
  </si>
  <si>
    <t xml:space="preserve">Exports conformes aux documents actuels.</t>
  </si>
  <si>
    <t xml:space="preserve">Moteur d'alertes, tableau de bord, emails</t>
  </si>
  <si>
    <t xml:space="preserve">Échéances centralisées (habilitations, médical, documents, entretiens), tableau de bord par rôle, récapitulatif hebdomadaire.</t>
  </si>
  <si>
    <t xml:space="preserve">Reprise des données salariés et matériel</t>
  </si>
  <si>
    <t xml:space="preserve">Nettoyage (doublons, valeurs de test), migration des habilitations avec justificatifs, du parc et des plans d'entretien.</t>
  </si>
  <si>
    <t xml:space="preserve">Recette, formation QSE, mise en production</t>
  </si>
  <si>
    <t xml:space="preserve">Recette avec l'utilisatrice, corrections, formation, bascule.</t>
  </si>
  <si>
    <t xml:space="preserve">Sous-total Lot 1 (base)</t>
  </si>
  <si>
    <t xml:space="preserve">Lot 2</t>
  </si>
  <si>
    <t xml:space="preserve">Commercial (bureau d'études)</t>
  </si>
  <si>
    <t xml:space="preserve">Affaires : liste et fiche</t>
  </si>
  <si>
    <t xml:space="preserve">Général, groupement, correspondance, notes, GED, BPU en pièce jointe, verrouillage après remise, statuts.</t>
  </si>
  <si>
    <t xml:space="preserve">Marchés et chantiers</t>
  </si>
  <si>
    <t xml:space="preserve">Accords-cadres, chantiers rattachés, classification SS3/SS4, données PPSPS, numérotation automatique.</t>
  </si>
  <si>
    <t xml:space="preserve">Certificats de capacité</t>
  </si>
  <si>
    <t xml:space="preserve">Croisement identités FNTP / réseaux / zones, rattachement aux chantiers, édition PDF.</t>
  </si>
  <si>
    <t xml:space="preserve">Éditions PDF et alertes commerciales</t>
  </si>
  <si>
    <t xml:space="preserve">Fiche affaire imprimable, alertes sur dates de remise et échéances de marchés.</t>
  </si>
  <si>
    <t xml:space="preserve">Reprise des données commerciales</t>
  </si>
  <si>
    <t xml:space="preserve">Affaires, marchés, chantiers, répertoires.</t>
  </si>
  <si>
    <t xml:space="preserve">Recette, formation bureau d'études, arrêt de l'ancien outil</t>
  </si>
  <si>
    <t xml:space="preserve">Recette, formation, période de recouvrement, extinction.</t>
  </si>
  <si>
    <t xml:space="preserve">Sous-total Lot 2 (base)</t>
  </si>
  <si>
    <t xml:space="preserve">Lot 3</t>
  </si>
  <si>
    <t xml:space="preserve">Terrain (chefs de chantier)</t>
  </si>
  <si>
    <t xml:space="preserve">Application mobile PWA</t>
  </si>
  <si>
    <t xml:space="preserve">Vue chef de chantier : mes chantiers, documents, photos, installation sur tablette.</t>
  </si>
  <si>
    <t xml:space="preserve">Signalements, checklists, rapports depuis le terrain</t>
  </si>
  <si>
    <t xml:space="preserve">Panne/casse, points de contrôle avant utilisation, compteurs et carburant, photos horodatées.</t>
  </si>
  <si>
    <t xml:space="preserve">Formation et accompagnement terrain</t>
  </si>
  <si>
    <t xml:space="preserve">Formation des chefs de chantier, ajustements sur retours.</t>
  </si>
  <si>
    <t xml:space="preserve">Mode hors-ligne et synchronisation</t>
  </si>
  <si>
    <t xml:space="preserve">Base locale, file d'attente, gestion des conflits. Retenu si la couverture réseau des chantiers l'exige.</t>
  </si>
  <si>
    <t xml:space="preserve">Option</t>
  </si>
  <si>
    <t xml:space="preserve">Sous-total Lot 3 (base)</t>
  </si>
  <si>
    <t xml:space="preserve">Lot 4</t>
  </si>
  <si>
    <t xml:space="preserve">Valeur ajoutée</t>
  </si>
  <si>
    <t xml:space="preserve">Générateur de dossier de candidature</t>
  </si>
  <si>
    <t xml:space="preserve">Documents statiques + listes générées (salariés, effectifs, formations, matériels, contrôles, agréments, certificats), assemblage et export.</t>
  </si>
  <si>
    <t xml:space="preserve">Génération du PPSPS</t>
  </si>
  <si>
    <t xml:space="preserve">Document généré depuis chantier, salariés affectés, organismes et fonctions.</t>
  </si>
  <si>
    <t xml:space="preserve">Fil de discussion par chantier</t>
  </si>
  <si>
    <t xml:space="preserve">Commentaires, mentions et notifications rattachés aux chantiers, en remplacement d'une messagerie générale.</t>
  </si>
  <si>
    <t xml:space="preserve">Bon de commande simple</t>
  </si>
  <si>
    <t xml:space="preserve">Rattaché à un chantier, PDF envoyé au fournisseur.</t>
  </si>
  <si>
    <t xml:space="preserve">Coût de revient matériel</t>
  </si>
  <si>
    <t xml:space="preserve">Activation de la comptabilité analytique du parc à partir des données saisies.</t>
  </si>
  <si>
    <t xml:space="preserve">Sous-total Lot 4 (base)</t>
  </si>
  <si>
    <t xml:space="preserve">TOTAL BASE (lots 0 à 4, hors options)</t>
  </si>
  <si>
    <t xml:space="preserve">TOTAL BASE APRÈS REMISE</t>
  </si>
  <si>
    <t xml:space="preserve">Total des options</t>
  </si>
  <si>
    <t xml:space="preserve">TOTAL AVEC TOUTES LES OPTIONS (avant remise)</t>
  </si>
  <si>
    <t xml:space="preserve">Exploitation et maintenance — mensuel HT</t>
  </si>
  <si>
    <t xml:space="preserve">Engagement 12 mois à compter de la mise en production du lot 1. Évolutions hors forfait facturées au TJM.</t>
  </si>
  <si>
    <t xml:space="preserve">Poste</t>
  </si>
  <si>
    <t xml:space="preserve">Contenu</t>
  </si>
  <si>
    <t xml:space="preserve">€ HT / mois</t>
  </si>
  <si>
    <t xml:space="preserve">Hébergement et sauvegardes</t>
  </si>
  <si>
    <t xml:space="preserve">Vercel Pro (EU), PostgreSQL managé, stockage documents, emails transactionnels, nom de domaine ; sauvegardes quotidiennes, test de restauration trimestriel, supervision. Coûts d'infrastructure inclus jusqu'à 100 Go de documents.</t>
  </si>
  <si>
    <t xml:space="preserve">Maintenance corrective et support</t>
  </si>
  <si>
    <t xml:space="preserve">Correction des anomalies sous 48 h ouvrées, support par email aux utilisateurs clés, mises à jour de sécurité, petites évolutions dans la limite d'une demi-journée par mois.</t>
  </si>
  <si>
    <t xml:space="preserve">Total mensuel</t>
  </si>
  <si>
    <t xml:space="preserve">Total annuel</t>
  </si>
  <si>
    <t xml:space="preserve">Hypothèse : coûts d'infrastructure estimés à 60–90 €/mois au démarrage (Vercel Pro 20 €, base managée 25 €, stockage et emails 15–40 €). Le poste hébergement couvre ces coûts et la supervision.</t>
  </si>
  <si>
    <t xml:space="preserve">Conditions de règlement proposées</t>
  </si>
  <si>
    <t xml:space="preserve">Étape</t>
  </si>
  <si>
    <t xml:space="preserve">Déclencheur</t>
  </si>
  <si>
    <t xml:space="preserve">Part</t>
  </si>
  <si>
    <t xml:space="preserve">Acompte à la commande</t>
  </si>
  <si>
    <t xml:space="preserve">Signature du devis</t>
  </si>
  <si>
    <t xml:space="preserve">Livraison lot 1</t>
  </si>
  <si>
    <t xml:space="preserve">Recette QSE validée, mise en production</t>
  </si>
  <si>
    <t xml:space="preserve">Livraison lot 2</t>
  </si>
  <si>
    <t xml:space="preserve">Recette bureau d'études validée</t>
  </si>
  <si>
    <t xml:space="preserve">Livraison lot 3</t>
  </si>
  <si>
    <t xml:space="preserve">Recette terrain validée</t>
  </si>
  <si>
    <t xml:space="preserve">Livraison lot 4</t>
  </si>
  <si>
    <t xml:space="preserve">Recette validée</t>
  </si>
  <si>
    <t xml:space="preserve">Total</t>
  </si>
  <si>
    <t xml:space="preserve">Calculé sur le total base après remise (feuille Devis). Les options sont facturées à la livraison du lot concerné.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</si>
</sst>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;\-#,##0&quot; €&quot;;\-"/>
    <numFmt numFmtId="166" formatCode="0%"/>
    <numFmt numFmtId="167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52F56"/>
      <name val="Arial"/>
      <family val="0"/>
      <charset val="1"/>
    </font>
    <font>
      <sz val="9"/>
      <color rgb="FF73869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73869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52F56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color rgb="FF052F56"/>
      <name val="Arial"/>
      <family val="0"/>
      <charset val="1"/>
    </font>
    <font>
      <b val="true"/>
      <sz val="11"/>
      <color rgb="FF052F56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3869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52F56"/>
        <bgColor rgb="FF333333"/>
      </patternFill>
    </fill>
    <fill>
      <patternFill patternType="solid">
        <fgColor rgb="FFEAF4FC"/>
        <bgColor rgb="FFF3F1EC"/>
      </patternFill>
    </fill>
    <fill>
      <patternFill patternType="solid">
        <fgColor rgb="FFF3F1EC"/>
        <bgColor rgb="FFEAF4F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5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3869A"/>
      <rgbColor rgb="FF9999FF"/>
      <rgbColor rgb="FF993366"/>
      <rgbColor rgb="FFF3F1EC"/>
      <rgbColor rgb="FFEAF4FC"/>
      <rgbColor rgb="FF660066"/>
      <rgbColor rgb="FFFF8080"/>
      <rgbColor rgb="FF0066CC"/>
      <rgbColor rgb="FFDDE5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2F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7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2</v>
      </c>
      <c r="B4" s="3" t="n">
        <v>600</v>
      </c>
      <c r="C4" s="4" t="s">
        <v>3</v>
      </c>
    </row>
    <row r="5" customFormat="false" ht="15" hidden="false" customHeight="false" outlineLevel="0" collapsed="false">
      <c r="A5" s="0" t="s">
        <v>4</v>
      </c>
      <c r="B5" s="5" t="n">
        <v>0</v>
      </c>
      <c r="C5" s="4" t="s">
        <v>5</v>
      </c>
    </row>
    <row r="6" customFormat="false" ht="15" hidden="false" customHeight="false" outlineLevel="0" collapsed="false">
      <c r="A6" s="4" t="s">
        <v>6</v>
      </c>
    </row>
    <row r="8" customFormat="false" ht="15" hidden="false" customHeight="false" outlineLevel="0" collapsed="false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</row>
    <row r="9" customFormat="false" ht="15" hidden="false" customHeight="false" outlineLevel="0" collapsed="false">
      <c r="A9" s="7" t="s">
        <v>13</v>
      </c>
      <c r="B9" s="7" t="s">
        <v>14</v>
      </c>
      <c r="C9" s="8"/>
      <c r="D9" s="8"/>
      <c r="E9" s="8"/>
      <c r="F9" s="8"/>
    </row>
    <row r="10" customFormat="false" ht="23.85" hidden="false" customHeight="false" outlineLevel="0" collapsed="false">
      <c r="A10" s="9" t="s">
        <v>13</v>
      </c>
      <c r="B10" s="10" t="s">
        <v>15</v>
      </c>
      <c r="C10" s="11" t="s">
        <v>16</v>
      </c>
      <c r="D10" s="12" t="n">
        <v>1</v>
      </c>
      <c r="E10" s="13" t="n">
        <f aca="false">D10*$B$4</f>
        <v>600</v>
      </c>
      <c r="F10" s="14" t="s">
        <v>17</v>
      </c>
    </row>
    <row r="11" customFormat="false" ht="23.85" hidden="false" customHeight="false" outlineLevel="0" collapsed="false">
      <c r="A11" s="9" t="s">
        <v>13</v>
      </c>
      <c r="B11" s="10" t="s">
        <v>18</v>
      </c>
      <c r="C11" s="11" t="s">
        <v>19</v>
      </c>
      <c r="D11" s="12" t="n">
        <v>1</v>
      </c>
      <c r="E11" s="13" t="n">
        <f aca="false">D11*$B$4</f>
        <v>600</v>
      </c>
      <c r="F11" s="14" t="s">
        <v>17</v>
      </c>
    </row>
    <row r="12" customFormat="false" ht="22.35" hidden="false" customHeight="false" outlineLevel="0" collapsed="false">
      <c r="A12" s="9" t="s">
        <v>13</v>
      </c>
      <c r="B12" s="10" t="s">
        <v>20</v>
      </c>
      <c r="C12" s="11" t="s">
        <v>21</v>
      </c>
      <c r="D12" s="12" t="n">
        <v>2</v>
      </c>
      <c r="E12" s="13" t="n">
        <f aca="false">D12*$B$4</f>
        <v>1200</v>
      </c>
      <c r="F12" s="14" t="s">
        <v>17</v>
      </c>
    </row>
    <row r="13" customFormat="false" ht="22.35" hidden="false" customHeight="false" outlineLevel="0" collapsed="false">
      <c r="A13" s="9" t="s">
        <v>13</v>
      </c>
      <c r="B13" s="10" t="s">
        <v>22</v>
      </c>
      <c r="C13" s="11" t="s">
        <v>23</v>
      </c>
      <c r="D13" s="12" t="n">
        <v>2</v>
      </c>
      <c r="E13" s="13" t="n">
        <f aca="false">D13*$B$4</f>
        <v>1200</v>
      </c>
      <c r="F13" s="14" t="s">
        <v>17</v>
      </c>
    </row>
    <row r="14" customFormat="false" ht="22.35" hidden="false" customHeight="false" outlineLevel="0" collapsed="false">
      <c r="A14" s="9" t="s">
        <v>13</v>
      </c>
      <c r="B14" s="10" t="s">
        <v>24</v>
      </c>
      <c r="C14" s="11" t="s">
        <v>25</v>
      </c>
      <c r="D14" s="12" t="n">
        <v>1</v>
      </c>
      <c r="E14" s="13" t="n">
        <f aca="false">D14*$B$4</f>
        <v>600</v>
      </c>
      <c r="F14" s="14" t="s">
        <v>17</v>
      </c>
    </row>
    <row r="15" customFormat="false" ht="15" hidden="false" customHeight="false" outlineLevel="0" collapsed="false">
      <c r="A15" s="15"/>
      <c r="B15" s="16" t="s">
        <v>26</v>
      </c>
      <c r="C15" s="15"/>
      <c r="D15" s="17" t="n">
        <f aca="false">SUMIF(F10:F14,"Base",D10:D14)</f>
        <v>7</v>
      </c>
      <c r="E15" s="18" t="n">
        <f aca="false">SUMIF(F10:F14,"Base",E10:E14)</f>
        <v>4200</v>
      </c>
      <c r="F15" s="19" t="n">
        <f aca="false">SUMIF(F10:F14,"Option",E10:E14)</f>
        <v>0</v>
      </c>
    </row>
    <row r="17" customFormat="false" ht="15" hidden="false" customHeight="false" outlineLevel="0" collapsed="false">
      <c r="A17" s="7" t="s">
        <v>27</v>
      </c>
      <c r="B17" s="7" t="s">
        <v>28</v>
      </c>
      <c r="C17" s="8"/>
      <c r="D17" s="8"/>
      <c r="E17" s="8"/>
      <c r="F17" s="8"/>
    </row>
    <row r="18" customFormat="false" ht="23.85" hidden="false" customHeight="false" outlineLevel="0" collapsed="false">
      <c r="A18" s="9" t="s">
        <v>27</v>
      </c>
      <c r="B18" s="10" t="s">
        <v>29</v>
      </c>
      <c r="C18" s="11" t="s">
        <v>30</v>
      </c>
      <c r="D18" s="12" t="n">
        <v>3</v>
      </c>
      <c r="E18" s="13" t="n">
        <f aca="false">D18*$B$4</f>
        <v>1800</v>
      </c>
      <c r="F18" s="14" t="s">
        <v>17</v>
      </c>
    </row>
    <row r="19" customFormat="false" ht="22.35" hidden="false" customHeight="false" outlineLevel="0" collapsed="false">
      <c r="A19" s="9" t="s">
        <v>27</v>
      </c>
      <c r="B19" s="10" t="s">
        <v>31</v>
      </c>
      <c r="C19" s="11" t="s">
        <v>32</v>
      </c>
      <c r="D19" s="12" t="n">
        <v>4</v>
      </c>
      <c r="E19" s="13" t="n">
        <f aca="false">D19*$B$4</f>
        <v>2400</v>
      </c>
      <c r="F19" s="14" t="s">
        <v>17</v>
      </c>
    </row>
    <row r="20" customFormat="false" ht="22.35" hidden="false" customHeight="false" outlineLevel="0" collapsed="false">
      <c r="A20" s="9" t="s">
        <v>27</v>
      </c>
      <c r="B20" s="10" t="s">
        <v>33</v>
      </c>
      <c r="C20" s="11" t="s">
        <v>34</v>
      </c>
      <c r="D20" s="12" t="n">
        <v>2</v>
      </c>
      <c r="E20" s="13" t="n">
        <f aca="false">D20*$B$4</f>
        <v>1200</v>
      </c>
      <c r="F20" s="14" t="s">
        <v>17</v>
      </c>
    </row>
    <row r="21" customFormat="false" ht="23.85" hidden="false" customHeight="false" outlineLevel="0" collapsed="false">
      <c r="A21" s="9" t="s">
        <v>27</v>
      </c>
      <c r="B21" s="10" t="s">
        <v>35</v>
      </c>
      <c r="C21" s="11" t="s">
        <v>36</v>
      </c>
      <c r="D21" s="12" t="n">
        <v>3</v>
      </c>
      <c r="E21" s="13" t="n">
        <f aca="false">D21*$B$4</f>
        <v>1800</v>
      </c>
      <c r="F21" s="14" t="s">
        <v>17</v>
      </c>
    </row>
    <row r="22" customFormat="false" ht="22.35" hidden="false" customHeight="false" outlineLevel="0" collapsed="false">
      <c r="A22" s="9" t="s">
        <v>27</v>
      </c>
      <c r="B22" s="10" t="s">
        <v>37</v>
      </c>
      <c r="C22" s="11" t="s">
        <v>38</v>
      </c>
      <c r="D22" s="12" t="n">
        <v>3</v>
      </c>
      <c r="E22" s="13" t="n">
        <f aca="false">D22*$B$4</f>
        <v>1800</v>
      </c>
      <c r="F22" s="14" t="s">
        <v>17</v>
      </c>
    </row>
    <row r="23" customFormat="false" ht="23.85" hidden="false" customHeight="false" outlineLevel="0" collapsed="false">
      <c r="A23" s="9" t="s">
        <v>27</v>
      </c>
      <c r="B23" s="10" t="s">
        <v>39</v>
      </c>
      <c r="C23" s="11" t="s">
        <v>40</v>
      </c>
      <c r="D23" s="12" t="n">
        <v>3</v>
      </c>
      <c r="E23" s="13" t="n">
        <f aca="false">D23*$B$4</f>
        <v>1800</v>
      </c>
      <c r="F23" s="14" t="s">
        <v>17</v>
      </c>
    </row>
    <row r="24" customFormat="false" ht="15" hidden="false" customHeight="false" outlineLevel="0" collapsed="false">
      <c r="A24" s="9" t="s">
        <v>27</v>
      </c>
      <c r="B24" s="10" t="s">
        <v>41</v>
      </c>
      <c r="C24" s="11" t="s">
        <v>42</v>
      </c>
      <c r="D24" s="12" t="n">
        <v>3</v>
      </c>
      <c r="E24" s="13" t="n">
        <f aca="false">D24*$B$4</f>
        <v>1800</v>
      </c>
      <c r="F24" s="14" t="s">
        <v>17</v>
      </c>
    </row>
    <row r="25" customFormat="false" ht="23.85" hidden="false" customHeight="false" outlineLevel="0" collapsed="false">
      <c r="A25" s="9" t="s">
        <v>27</v>
      </c>
      <c r="B25" s="10" t="s">
        <v>43</v>
      </c>
      <c r="C25" s="11" t="s">
        <v>44</v>
      </c>
      <c r="D25" s="12" t="n">
        <v>3</v>
      </c>
      <c r="E25" s="13" t="n">
        <f aca="false">D25*$B$4</f>
        <v>1800</v>
      </c>
      <c r="F25" s="14" t="s">
        <v>17</v>
      </c>
    </row>
    <row r="26" customFormat="false" ht="15" hidden="false" customHeight="false" outlineLevel="0" collapsed="false">
      <c r="A26" s="9" t="s">
        <v>27</v>
      </c>
      <c r="B26" s="10" t="s">
        <v>45</v>
      </c>
      <c r="C26" s="11" t="s">
        <v>46</v>
      </c>
      <c r="D26" s="12" t="n">
        <v>1.5</v>
      </c>
      <c r="E26" s="13" t="n">
        <f aca="false">D26*$B$4</f>
        <v>900</v>
      </c>
      <c r="F26" s="14" t="s">
        <v>17</v>
      </c>
    </row>
    <row r="27" customFormat="false" ht="22.35" hidden="false" customHeight="false" outlineLevel="0" collapsed="false">
      <c r="A27" s="9" t="s">
        <v>27</v>
      </c>
      <c r="B27" s="10" t="s">
        <v>47</v>
      </c>
      <c r="C27" s="11" t="s">
        <v>48</v>
      </c>
      <c r="D27" s="12" t="n">
        <v>3</v>
      </c>
      <c r="E27" s="13" t="n">
        <f aca="false">D27*$B$4</f>
        <v>1800</v>
      </c>
      <c r="F27" s="14" t="s">
        <v>17</v>
      </c>
    </row>
    <row r="28" customFormat="false" ht="22.35" hidden="false" customHeight="false" outlineLevel="0" collapsed="false">
      <c r="A28" s="9" t="s">
        <v>27</v>
      </c>
      <c r="B28" s="10" t="s">
        <v>49</v>
      </c>
      <c r="C28" s="11" t="s">
        <v>50</v>
      </c>
      <c r="D28" s="12" t="n">
        <v>2.5</v>
      </c>
      <c r="E28" s="13" t="n">
        <f aca="false">D28*$B$4</f>
        <v>1500</v>
      </c>
      <c r="F28" s="14" t="s">
        <v>17</v>
      </c>
    </row>
    <row r="29" customFormat="false" ht="23.85" hidden="false" customHeight="false" outlineLevel="0" collapsed="false">
      <c r="A29" s="9" t="s">
        <v>27</v>
      </c>
      <c r="B29" s="10" t="s">
        <v>51</v>
      </c>
      <c r="C29" s="11" t="s">
        <v>52</v>
      </c>
      <c r="D29" s="12" t="n">
        <v>1.5</v>
      </c>
      <c r="E29" s="13" t="n">
        <f aca="false">D29*$B$4</f>
        <v>900</v>
      </c>
      <c r="F29" s="14" t="s">
        <v>17</v>
      </c>
    </row>
    <row r="30" customFormat="false" ht="15" hidden="false" customHeight="false" outlineLevel="0" collapsed="false">
      <c r="A30" s="15"/>
      <c r="B30" s="16" t="s">
        <v>53</v>
      </c>
      <c r="C30" s="15"/>
      <c r="D30" s="17" t="n">
        <f aca="false">SUMIF(F18:F29,"Base",D18:D29)</f>
        <v>32.5</v>
      </c>
      <c r="E30" s="18" t="n">
        <f aca="false">SUMIF(F18:F29,"Base",E18:E29)</f>
        <v>19500</v>
      </c>
      <c r="F30" s="19" t="n">
        <f aca="false">SUMIF(F18:F29,"Option",E18:E29)</f>
        <v>0</v>
      </c>
    </row>
    <row r="32" customFormat="false" ht="15" hidden="false" customHeight="false" outlineLevel="0" collapsed="false">
      <c r="A32" s="7" t="s">
        <v>54</v>
      </c>
      <c r="B32" s="7" t="s">
        <v>55</v>
      </c>
      <c r="C32" s="8"/>
      <c r="D32" s="8"/>
      <c r="E32" s="8"/>
      <c r="F32" s="8"/>
    </row>
    <row r="33" customFormat="false" ht="22.35" hidden="false" customHeight="false" outlineLevel="0" collapsed="false">
      <c r="A33" s="9" t="s">
        <v>54</v>
      </c>
      <c r="B33" s="10" t="s">
        <v>56</v>
      </c>
      <c r="C33" s="11" t="s">
        <v>57</v>
      </c>
      <c r="D33" s="12" t="n">
        <v>4</v>
      </c>
      <c r="E33" s="13" t="n">
        <f aca="false">D33*$B$4</f>
        <v>2400</v>
      </c>
      <c r="F33" s="14" t="s">
        <v>17</v>
      </c>
    </row>
    <row r="34" customFormat="false" ht="22.35" hidden="false" customHeight="false" outlineLevel="0" collapsed="false">
      <c r="A34" s="9" t="s">
        <v>54</v>
      </c>
      <c r="B34" s="10" t="s">
        <v>58</v>
      </c>
      <c r="C34" s="11" t="s">
        <v>59</v>
      </c>
      <c r="D34" s="12" t="n">
        <v>2.5</v>
      </c>
      <c r="E34" s="13" t="n">
        <f aca="false">D34*$B$4</f>
        <v>1500</v>
      </c>
      <c r="F34" s="14" t="s">
        <v>17</v>
      </c>
    </row>
    <row r="35" customFormat="false" ht="15" hidden="false" customHeight="false" outlineLevel="0" collapsed="false">
      <c r="A35" s="9" t="s">
        <v>54</v>
      </c>
      <c r="B35" s="10" t="s">
        <v>60</v>
      </c>
      <c r="C35" s="11" t="s">
        <v>61</v>
      </c>
      <c r="D35" s="12" t="n">
        <v>2</v>
      </c>
      <c r="E35" s="13" t="n">
        <f aca="false">D35*$B$4</f>
        <v>1200</v>
      </c>
      <c r="F35" s="14" t="s">
        <v>17</v>
      </c>
    </row>
    <row r="36" customFormat="false" ht="15" hidden="false" customHeight="false" outlineLevel="0" collapsed="false">
      <c r="A36" s="9" t="s">
        <v>54</v>
      </c>
      <c r="B36" s="10" t="s">
        <v>62</v>
      </c>
      <c r="C36" s="11" t="s">
        <v>63</v>
      </c>
      <c r="D36" s="12" t="n">
        <v>1.5</v>
      </c>
      <c r="E36" s="13" t="n">
        <f aca="false">D36*$B$4</f>
        <v>900</v>
      </c>
      <c r="F36" s="14" t="s">
        <v>17</v>
      </c>
    </row>
    <row r="37" customFormat="false" ht="15" hidden="false" customHeight="false" outlineLevel="0" collapsed="false">
      <c r="A37" s="9" t="s">
        <v>54</v>
      </c>
      <c r="B37" s="10" t="s">
        <v>64</v>
      </c>
      <c r="C37" s="11" t="s">
        <v>65</v>
      </c>
      <c r="D37" s="12" t="n">
        <v>1</v>
      </c>
      <c r="E37" s="13" t="n">
        <f aca="false">D37*$B$4</f>
        <v>600</v>
      </c>
      <c r="F37" s="14" t="s">
        <v>17</v>
      </c>
    </row>
    <row r="38" customFormat="false" ht="23.85" hidden="false" customHeight="false" outlineLevel="0" collapsed="false">
      <c r="A38" s="9" t="s">
        <v>54</v>
      </c>
      <c r="B38" s="10" t="s">
        <v>66</v>
      </c>
      <c r="C38" s="11" t="s">
        <v>67</v>
      </c>
      <c r="D38" s="12" t="n">
        <v>1</v>
      </c>
      <c r="E38" s="13" t="n">
        <f aca="false">D38*$B$4</f>
        <v>600</v>
      </c>
      <c r="F38" s="14" t="s">
        <v>17</v>
      </c>
    </row>
    <row r="39" customFormat="false" ht="15" hidden="false" customHeight="false" outlineLevel="0" collapsed="false">
      <c r="A39" s="15"/>
      <c r="B39" s="16" t="s">
        <v>68</v>
      </c>
      <c r="C39" s="15"/>
      <c r="D39" s="17" t="n">
        <f aca="false">SUMIF(F33:F38,"Base",D33:D38)</f>
        <v>12</v>
      </c>
      <c r="E39" s="18" t="n">
        <f aca="false">SUMIF(F33:F38,"Base",E33:E38)</f>
        <v>7200</v>
      </c>
      <c r="F39" s="19" t="n">
        <f aca="false">SUMIF(F33:F38,"Option",E33:E38)</f>
        <v>0</v>
      </c>
    </row>
    <row r="41" customFormat="false" ht="15" hidden="false" customHeight="false" outlineLevel="0" collapsed="false">
      <c r="A41" s="7" t="s">
        <v>69</v>
      </c>
      <c r="B41" s="7" t="s">
        <v>70</v>
      </c>
      <c r="C41" s="8"/>
      <c r="D41" s="8"/>
      <c r="E41" s="8"/>
      <c r="F41" s="8"/>
    </row>
    <row r="42" customFormat="false" ht="15" hidden="false" customHeight="false" outlineLevel="0" collapsed="false">
      <c r="A42" s="9" t="s">
        <v>69</v>
      </c>
      <c r="B42" s="10" t="s">
        <v>71</v>
      </c>
      <c r="C42" s="11" t="s">
        <v>72</v>
      </c>
      <c r="D42" s="12" t="n">
        <v>4</v>
      </c>
      <c r="E42" s="13" t="n">
        <f aca="false">D42*$B$4</f>
        <v>2400</v>
      </c>
      <c r="F42" s="14" t="s">
        <v>17</v>
      </c>
    </row>
    <row r="43" customFormat="false" ht="23.85" hidden="false" customHeight="false" outlineLevel="0" collapsed="false">
      <c r="A43" s="9" t="s">
        <v>69</v>
      </c>
      <c r="B43" s="10" t="s">
        <v>73</v>
      </c>
      <c r="C43" s="11" t="s">
        <v>74</v>
      </c>
      <c r="D43" s="12" t="n">
        <v>2</v>
      </c>
      <c r="E43" s="13" t="n">
        <f aca="false">D43*$B$4</f>
        <v>1200</v>
      </c>
      <c r="F43" s="14" t="s">
        <v>17</v>
      </c>
    </row>
    <row r="44" customFormat="false" ht="15" hidden="false" customHeight="false" outlineLevel="0" collapsed="false">
      <c r="A44" s="9" t="s">
        <v>69</v>
      </c>
      <c r="B44" s="10" t="s">
        <v>75</v>
      </c>
      <c r="C44" s="11" t="s">
        <v>76</v>
      </c>
      <c r="D44" s="12" t="n">
        <v>1</v>
      </c>
      <c r="E44" s="13" t="n">
        <f aca="false">D44*$B$4</f>
        <v>600</v>
      </c>
      <c r="F44" s="14" t="s">
        <v>17</v>
      </c>
    </row>
    <row r="45" customFormat="false" ht="22.35" hidden="false" customHeight="false" outlineLevel="0" collapsed="false">
      <c r="A45" s="9" t="s">
        <v>69</v>
      </c>
      <c r="B45" s="10" t="s">
        <v>77</v>
      </c>
      <c r="C45" s="11" t="s">
        <v>78</v>
      </c>
      <c r="D45" s="12" t="n">
        <v>6</v>
      </c>
      <c r="E45" s="13" t="n">
        <f aca="false">D45*$B$4</f>
        <v>3600</v>
      </c>
      <c r="F45" s="20" t="s">
        <v>79</v>
      </c>
    </row>
    <row r="46" customFormat="false" ht="15" hidden="false" customHeight="false" outlineLevel="0" collapsed="false">
      <c r="A46" s="15"/>
      <c r="B46" s="16" t="s">
        <v>80</v>
      </c>
      <c r="C46" s="15"/>
      <c r="D46" s="17" t="n">
        <f aca="false">SUMIF(F42:F45,"Base",D42:D45)</f>
        <v>7</v>
      </c>
      <c r="E46" s="18" t="n">
        <f aca="false">SUMIF(F42:F45,"Base",E42:E45)</f>
        <v>4200</v>
      </c>
      <c r="F46" s="19" t="n">
        <f aca="false">SUMIF(F42:F45,"Option",E42:E45)</f>
        <v>3600</v>
      </c>
    </row>
    <row r="48" customFormat="false" ht="15" hidden="false" customHeight="false" outlineLevel="0" collapsed="false">
      <c r="A48" s="7" t="s">
        <v>81</v>
      </c>
      <c r="B48" s="7" t="s">
        <v>82</v>
      </c>
      <c r="C48" s="8"/>
      <c r="D48" s="8"/>
      <c r="E48" s="8"/>
      <c r="F48" s="8"/>
    </row>
    <row r="49" customFormat="false" ht="22.35" hidden="false" customHeight="false" outlineLevel="0" collapsed="false">
      <c r="A49" s="9" t="s">
        <v>81</v>
      </c>
      <c r="B49" s="10" t="s">
        <v>83</v>
      </c>
      <c r="C49" s="11" t="s">
        <v>84</v>
      </c>
      <c r="D49" s="12" t="n">
        <v>6</v>
      </c>
      <c r="E49" s="13" t="n">
        <f aca="false">D49*$B$4</f>
        <v>3600</v>
      </c>
      <c r="F49" s="14" t="s">
        <v>17</v>
      </c>
    </row>
    <row r="50" customFormat="false" ht="15" hidden="false" customHeight="false" outlineLevel="0" collapsed="false">
      <c r="A50" s="9" t="s">
        <v>81</v>
      </c>
      <c r="B50" s="10" t="s">
        <v>85</v>
      </c>
      <c r="C50" s="11" t="s">
        <v>86</v>
      </c>
      <c r="D50" s="12" t="n">
        <v>4</v>
      </c>
      <c r="E50" s="13" t="n">
        <f aca="false">D50*$B$4</f>
        <v>2400</v>
      </c>
      <c r="F50" s="14" t="s">
        <v>17</v>
      </c>
    </row>
    <row r="51" customFormat="false" ht="22.35" hidden="false" customHeight="false" outlineLevel="0" collapsed="false">
      <c r="A51" s="9" t="s">
        <v>81</v>
      </c>
      <c r="B51" s="10" t="s">
        <v>87</v>
      </c>
      <c r="C51" s="11" t="s">
        <v>88</v>
      </c>
      <c r="D51" s="12" t="n">
        <v>3</v>
      </c>
      <c r="E51" s="13" t="n">
        <f aca="false">D51*$B$4</f>
        <v>1800</v>
      </c>
      <c r="F51" s="14" t="s">
        <v>17</v>
      </c>
    </row>
    <row r="52" customFormat="false" ht="15" hidden="false" customHeight="false" outlineLevel="0" collapsed="false">
      <c r="A52" s="9" t="s">
        <v>81</v>
      </c>
      <c r="B52" s="10" t="s">
        <v>89</v>
      </c>
      <c r="C52" s="11" t="s">
        <v>90</v>
      </c>
      <c r="D52" s="12" t="n">
        <v>2</v>
      </c>
      <c r="E52" s="13" t="n">
        <f aca="false">D52*$B$4</f>
        <v>1200</v>
      </c>
      <c r="F52" s="20" t="s">
        <v>79</v>
      </c>
    </row>
    <row r="53" customFormat="false" ht="15" hidden="false" customHeight="false" outlineLevel="0" collapsed="false">
      <c r="A53" s="9" t="s">
        <v>81</v>
      </c>
      <c r="B53" s="10" t="s">
        <v>91</v>
      </c>
      <c r="C53" s="11" t="s">
        <v>92</v>
      </c>
      <c r="D53" s="12" t="n">
        <v>5</v>
      </c>
      <c r="E53" s="13" t="n">
        <f aca="false">D53*$B$4</f>
        <v>3000</v>
      </c>
      <c r="F53" s="20" t="s">
        <v>79</v>
      </c>
    </row>
    <row r="54" customFormat="false" ht="15" hidden="false" customHeight="false" outlineLevel="0" collapsed="false">
      <c r="A54" s="15"/>
      <c r="B54" s="16" t="s">
        <v>93</v>
      </c>
      <c r="C54" s="15"/>
      <c r="D54" s="17" t="n">
        <f aca="false">SUMIF(F49:F53,"Base",D49:D53)</f>
        <v>13</v>
      </c>
      <c r="E54" s="18" t="n">
        <f aca="false">SUMIF(F49:F53,"Base",E49:E53)</f>
        <v>7800</v>
      </c>
      <c r="F54" s="19" t="n">
        <f aca="false">SUMIF(F49:F53,"Option",E49:E53)</f>
        <v>4200</v>
      </c>
    </row>
    <row r="57" customFormat="false" ht="15" hidden="false" customHeight="false" outlineLevel="0" collapsed="false">
      <c r="A57" s="8"/>
      <c r="B57" s="21" t="s">
        <v>94</v>
      </c>
      <c r="C57" s="8"/>
      <c r="D57" s="22" t="n">
        <f aca="false">SUMIF(F9:F55,"Base",D9:D55)</f>
        <v>71.5</v>
      </c>
      <c r="E57" s="23" t="n">
        <f aca="false">SUMIF(F9:F55,"Base",E9:E55)</f>
        <v>42900</v>
      </c>
      <c r="F57" s="8"/>
    </row>
    <row r="58" customFormat="false" ht="15" hidden="false" customHeight="false" outlineLevel="0" collapsed="false">
      <c r="B58" s="24" t="s">
        <v>4</v>
      </c>
      <c r="E58" s="25" t="n">
        <f aca="false">-E57*$B$5</f>
        <v>-0</v>
      </c>
    </row>
    <row r="59" customFormat="false" ht="15" hidden="false" customHeight="false" outlineLevel="0" collapsed="false">
      <c r="A59" s="8"/>
      <c r="B59" s="21" t="s">
        <v>95</v>
      </c>
      <c r="C59" s="8"/>
      <c r="D59" s="8"/>
      <c r="E59" s="23" t="n">
        <f aca="false">E57+E58</f>
        <v>42900</v>
      </c>
      <c r="F59" s="8"/>
    </row>
    <row r="60" customFormat="false" ht="15" hidden="false" customHeight="false" outlineLevel="0" collapsed="false">
      <c r="B60" s="26" t="s">
        <v>96</v>
      </c>
      <c r="D60" s="27" t="n">
        <f aca="false">SUMIF(F9:F55,"Option",D9:D55)</f>
        <v>13</v>
      </c>
      <c r="E60" s="25" t="n">
        <f aca="false">SUMIF(F9:F55,"Option",E9:E55)</f>
        <v>7800</v>
      </c>
    </row>
    <row r="61" customFormat="false" ht="15" hidden="false" customHeight="false" outlineLevel="0" collapsed="false">
      <c r="B61" s="28" t="s">
        <v>97</v>
      </c>
      <c r="E61" s="29" t="n">
        <f aca="false">E57+E60</f>
        <v>50700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30" t="s">
        <v>100</v>
      </c>
      <c r="B4" s="30" t="s">
        <v>101</v>
      </c>
      <c r="C4" s="30" t="s">
        <v>102</v>
      </c>
    </row>
    <row r="5" customFormat="false" ht="32.8" hidden="false" customHeight="false" outlineLevel="0" collapsed="false">
      <c r="A5" s="28" t="s">
        <v>103</v>
      </c>
      <c r="B5" s="31" t="s">
        <v>104</v>
      </c>
      <c r="C5" s="32" t="n">
        <v>150</v>
      </c>
    </row>
    <row r="6" customFormat="false" ht="22.35" hidden="false" customHeight="false" outlineLevel="0" collapsed="false">
      <c r="A6" s="28" t="s">
        <v>105</v>
      </c>
      <c r="B6" s="31" t="s">
        <v>106</v>
      </c>
      <c r="C6" s="32" t="n">
        <v>350</v>
      </c>
    </row>
    <row r="7" customFormat="false" ht="15" hidden="false" customHeight="false" outlineLevel="0" collapsed="false">
      <c r="A7" s="33" t="s">
        <v>107</v>
      </c>
      <c r="C7" s="34" t="n">
        <f aca="false">SUM(C5:C6)</f>
        <v>500</v>
      </c>
    </row>
    <row r="8" customFormat="false" ht="15" hidden="false" customHeight="false" outlineLevel="0" collapsed="false">
      <c r="A8" s="33" t="s">
        <v>108</v>
      </c>
      <c r="C8" s="34" t="n">
        <f aca="false">C7*12</f>
        <v>6000</v>
      </c>
    </row>
    <row r="10" customFormat="false" ht="15" hidden="false" customHeight="false" outlineLevel="0" collapsed="false">
      <c r="A10" s="4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30" t="s">
        <v>111</v>
      </c>
      <c r="B3" s="30" t="s">
        <v>112</v>
      </c>
      <c r="C3" s="30" t="s">
        <v>113</v>
      </c>
      <c r="D3" s="30" t="s">
        <v>11</v>
      </c>
    </row>
    <row r="4" customFormat="false" ht="15" hidden="false" customHeight="false" outlineLevel="0" collapsed="false">
      <c r="A4" s="28" t="s">
        <v>114</v>
      </c>
      <c r="B4" s="35" t="s">
        <v>115</v>
      </c>
      <c r="C4" s="5" t="n">
        <v>0.3</v>
      </c>
      <c r="D4" s="25" t="n">
        <f aca="false">C4*Devis!$E$59</f>
        <v>12870</v>
      </c>
    </row>
    <row r="5" customFormat="false" ht="15" hidden="false" customHeight="false" outlineLevel="0" collapsed="false">
      <c r="A5" s="28" t="s">
        <v>116</v>
      </c>
      <c r="B5" s="35" t="s">
        <v>117</v>
      </c>
      <c r="C5" s="5" t="n">
        <v>0.3</v>
      </c>
      <c r="D5" s="25" t="n">
        <f aca="false">C5*Devis!$E$59</f>
        <v>12870</v>
      </c>
    </row>
    <row r="6" customFormat="false" ht="15" hidden="false" customHeight="false" outlineLevel="0" collapsed="false">
      <c r="A6" s="28" t="s">
        <v>118</v>
      </c>
      <c r="B6" s="35" t="s">
        <v>119</v>
      </c>
      <c r="C6" s="5" t="n">
        <v>0.15</v>
      </c>
      <c r="D6" s="25" t="n">
        <f aca="false">C6*Devis!$E$59</f>
        <v>6435</v>
      </c>
    </row>
    <row r="7" customFormat="false" ht="15" hidden="false" customHeight="false" outlineLevel="0" collapsed="false">
      <c r="A7" s="28" t="s">
        <v>120</v>
      </c>
      <c r="B7" s="35" t="s">
        <v>121</v>
      </c>
      <c r="C7" s="5" t="n">
        <v>0.1</v>
      </c>
      <c r="D7" s="25" t="n">
        <f aca="false">C7*Devis!$E$59</f>
        <v>4290</v>
      </c>
    </row>
    <row r="8" customFormat="false" ht="15" hidden="false" customHeight="false" outlineLevel="0" collapsed="false">
      <c r="A8" s="28" t="s">
        <v>122</v>
      </c>
      <c r="B8" s="35" t="s">
        <v>123</v>
      </c>
      <c r="C8" s="5" t="n">
        <v>0.15</v>
      </c>
      <c r="D8" s="25" t="n">
        <f aca="false">C8*Devis!$E$59</f>
        <v>6435</v>
      </c>
    </row>
    <row r="9" customFormat="false" ht="15" hidden="false" customHeight="false" outlineLevel="0" collapsed="false">
      <c r="A9" s="33" t="s">
        <v>124</v>
      </c>
      <c r="C9" s="36" t="n">
        <f aca="false">SUM(C4:C8)</f>
        <v>1</v>
      </c>
      <c r="D9" s="34" t="n">
        <f aca="false">SUM(D4:D8)</f>
        <v>42900</v>
      </c>
    </row>
    <row r="11" customFormat="false" ht="15" hidden="false" customHeight="false" outlineLevel="0" collapsed="false">
      <c r="A11" s="4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2026-09-08T15:13:20Z</dcterms:created>
  <dc:creator>openpyxl</dc:creator>
  <dc:description/>
  <dc:language>en-US</dc:language>
  <cp:lastModifiedBy/>
  <dcterms:modified xsi:type="dcterms:W3CDTF">2026-09-08T15:13:20Z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